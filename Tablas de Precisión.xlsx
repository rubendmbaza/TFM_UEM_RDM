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uben\Desktop\COSAS DE LOS MÁSTER\MÁSTER MADRID\"/>
    </mc:Choice>
  </mc:AlternateContent>
  <xr:revisionPtr revIDLastSave="0" documentId="13_ncr:1_{25E82C19-FBF7-4B5E-AEFB-87AF9FA14B5E}" xr6:coauthVersionLast="47" xr6:coauthVersionMax="47" xr10:uidLastSave="{00000000-0000-0000-0000-000000000000}"/>
  <bookViews>
    <workbookView xWindow="-108" yWindow="-108" windowWidth="23256" windowHeight="12456" xr2:uid="{D3119F48-305C-4F46-B46A-1588238F9EF3}"/>
  </bookViews>
  <sheets>
    <sheet name="Hoj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4" i="1" l="1"/>
  <c r="F114" i="1"/>
  <c r="D114" i="1" a="1"/>
  <c r="D114" i="1" s="1"/>
  <c r="H113" i="1" a="1"/>
  <c r="H113" i="1" s="1"/>
  <c r="H114" i="1" s="1"/>
  <c r="G84" i="1"/>
  <c r="F84" i="1"/>
  <c r="D84" i="1" a="1"/>
  <c r="D84" i="1" s="1"/>
  <c r="H83" i="1" a="1"/>
  <c r="H83" i="1" s="1"/>
  <c r="H84" i="1" s="1"/>
  <c r="G55" i="1"/>
  <c r="F55" i="1"/>
  <c r="D55" i="1" a="1"/>
  <c r="D55" i="1" s="1"/>
  <c r="H54" i="1" a="1"/>
  <c r="H54" i="1" s="1"/>
  <c r="H55" i="1" s="1"/>
  <c r="H25" i="1" a="1"/>
  <c r="H25" i="1" s="1"/>
  <c r="D26" i="1" a="1"/>
  <c r="D26" i="1" s="1"/>
  <c r="G26" i="1"/>
  <c r="F26" i="1"/>
  <c r="H26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<sst xmlns="http://schemas.openxmlformats.org/spreadsheetml/2006/main" count="430" uniqueCount="81">
  <si>
    <t xml:space="preserve"> </t>
  </si>
  <si>
    <t>21.00</t>
  </si>
  <si>
    <t>60.00</t>
  </si>
  <si>
    <t>6324.8</t>
  </si>
  <si>
    <t>64.00</t>
  </si>
  <si>
    <t>Acierto</t>
  </si>
  <si>
    <t>Errores</t>
  </si>
  <si>
    <t>1s</t>
  </si>
  <si>
    <t xml:space="preserve">Acierto </t>
  </si>
  <si>
    <t>PRECISIÓN  PaLi-Gemma 3B</t>
  </si>
  <si>
    <t>63.98</t>
  </si>
  <si>
    <t>Sí</t>
  </si>
  <si>
    <t>Precisión Absoluta</t>
  </si>
  <si>
    <t>Precisión Numérica</t>
  </si>
  <si>
    <t>Precisión Relativa</t>
  </si>
  <si>
    <t>68.01</t>
  </si>
  <si>
    <t>No</t>
  </si>
  <si>
    <t>Número Real</t>
  </si>
  <si>
    <t>Número Predicho</t>
  </si>
  <si>
    <t>5/5</t>
  </si>
  <si>
    <t>6/6</t>
  </si>
  <si>
    <t>1/5</t>
  </si>
  <si>
    <t>37.90</t>
  </si>
  <si>
    <t>74.48</t>
  </si>
  <si>
    <t>108.00</t>
  </si>
  <si>
    <t>5/6</t>
  </si>
  <si>
    <t>54.01</t>
  </si>
  <si>
    <t>4/5</t>
  </si>
  <si>
    <t>4981.3</t>
  </si>
  <si>
    <t>4/6</t>
  </si>
  <si>
    <t>5121.3</t>
  </si>
  <si>
    <t>54.00</t>
  </si>
  <si>
    <t>23.01</t>
  </si>
  <si>
    <t>3/5</t>
  </si>
  <si>
    <t>178.60</t>
  </si>
  <si>
    <t>66.01</t>
  </si>
  <si>
    <t>32.00</t>
  </si>
  <si>
    <t>no</t>
  </si>
  <si>
    <t>203.0</t>
  </si>
  <si>
    <t>168.61</t>
  </si>
  <si>
    <t>63.00</t>
  </si>
  <si>
    <r>
      <t>108.00</t>
    </r>
    <r>
      <rPr>
        <b/>
        <sz val="12"/>
        <color rgb="FFFF0000"/>
        <rFont val="Arial"/>
        <family val="2"/>
      </rPr>
      <t>.</t>
    </r>
  </si>
  <si>
    <r>
      <t>54.0</t>
    </r>
    <r>
      <rPr>
        <b/>
        <sz val="12"/>
        <color rgb="FFFF0000"/>
        <rFont val="Arial"/>
        <family val="2"/>
      </rPr>
      <t>-</t>
    </r>
  </si>
  <si>
    <r>
      <t>498</t>
    </r>
    <r>
      <rPr>
        <b/>
        <sz val="12"/>
        <color rgb="FFFF0000"/>
        <rFont val="Arial"/>
        <family val="2"/>
      </rPr>
      <t>-</t>
    </r>
    <r>
      <rPr>
        <sz val="12"/>
        <color theme="1"/>
        <rFont val="Arial"/>
        <family val="2"/>
      </rPr>
      <t>.3</t>
    </r>
  </si>
  <si>
    <r>
      <t>23.0</t>
    </r>
    <r>
      <rPr>
        <b/>
        <sz val="12"/>
        <color rgb="FFFF0000"/>
        <rFont val="Arial"/>
        <family val="2"/>
      </rPr>
      <t>-</t>
    </r>
  </si>
  <si>
    <r>
      <t>6</t>
    </r>
    <r>
      <rPr>
        <b/>
        <sz val="12"/>
        <color rgb="FFFF0000"/>
        <rFont val="Arial"/>
        <family val="2"/>
      </rPr>
      <t>.</t>
    </r>
    <r>
      <rPr>
        <sz val="12"/>
        <color theme="1"/>
        <rFont val="Arial"/>
        <family val="2"/>
      </rPr>
      <t>000</t>
    </r>
  </si>
  <si>
    <r>
      <t>178.6</t>
    </r>
    <r>
      <rPr>
        <b/>
        <sz val="12"/>
        <color rgb="FFFF0000"/>
        <rFont val="Arial"/>
        <family val="2"/>
      </rPr>
      <t>-</t>
    </r>
  </si>
  <si>
    <r>
      <t>63.0</t>
    </r>
    <r>
      <rPr>
        <b/>
        <sz val="12"/>
        <color rgb="FFFF0000"/>
        <rFont val="Arial"/>
        <family val="2"/>
      </rPr>
      <t>-</t>
    </r>
  </si>
  <si>
    <r>
      <t>5121</t>
    </r>
    <r>
      <rPr>
        <b/>
        <sz val="12"/>
        <color rgb="FFFF0000"/>
        <rFont val="Arial"/>
        <family val="2"/>
      </rPr>
      <t>_</t>
    </r>
    <r>
      <rPr>
        <sz val="12"/>
        <color theme="1"/>
        <rFont val="Arial"/>
        <family val="2"/>
      </rPr>
      <t>3</t>
    </r>
  </si>
  <si>
    <r>
      <t>168</t>
    </r>
    <r>
      <rPr>
        <b/>
        <sz val="12"/>
        <color rgb="FFFF0000"/>
        <rFont val="Arial"/>
        <family val="2"/>
      </rPr>
      <t>_</t>
    </r>
    <r>
      <rPr>
        <sz val="12"/>
        <color theme="1"/>
        <rFont val="Arial"/>
        <family val="2"/>
      </rPr>
      <t>61</t>
    </r>
  </si>
  <si>
    <r>
      <rPr>
        <b/>
        <sz val="12"/>
        <color rgb="FFFF0000"/>
        <rFont val="Arial"/>
        <family val="2"/>
      </rPr>
      <t>2</t>
    </r>
    <r>
      <rPr>
        <sz val="12"/>
        <color theme="1"/>
        <rFont val="Arial"/>
        <family val="2"/>
      </rPr>
      <t>12</t>
    </r>
    <r>
      <rPr>
        <b/>
        <sz val="12"/>
        <color rgb="FFFF0000"/>
        <rFont val="Arial"/>
        <family val="2"/>
      </rPr>
      <t>5</t>
    </r>
    <r>
      <rPr>
        <sz val="12"/>
        <color theme="1"/>
        <rFont val="Arial"/>
        <family val="2"/>
      </rPr>
      <t>1</t>
    </r>
    <r>
      <rPr>
        <b/>
        <sz val="12"/>
        <color rgb="FFFF0000"/>
        <rFont val="Arial"/>
        <family val="2"/>
      </rPr>
      <t>_</t>
    </r>
    <r>
      <rPr>
        <sz val="12"/>
        <color theme="1"/>
        <rFont val="Arial"/>
        <family val="2"/>
      </rPr>
      <t>3</t>
    </r>
  </si>
  <si>
    <t>2/6</t>
  </si>
  <si>
    <r>
      <rPr>
        <b/>
        <sz val="12"/>
        <color rgb="FFFF0000"/>
        <rFont val="Arial"/>
        <family val="2"/>
      </rPr>
      <t>-</t>
    </r>
    <r>
      <rPr>
        <sz val="12"/>
        <color theme="1"/>
        <rFont val="Arial"/>
        <family val="2"/>
      </rPr>
      <t>3</t>
    </r>
    <r>
      <rPr>
        <b/>
        <sz val="12"/>
        <color rgb="FFFF0000"/>
        <rFont val="Arial"/>
        <family val="2"/>
      </rPr>
      <t>_</t>
    </r>
    <r>
      <rPr>
        <sz val="12"/>
        <color theme="1"/>
        <rFont val="Arial"/>
        <family val="2"/>
      </rPr>
      <t>0</t>
    </r>
    <r>
      <rPr>
        <b/>
        <sz val="12"/>
        <color rgb="FFFF0000"/>
        <rFont val="Arial"/>
        <family val="2"/>
      </rPr>
      <t>-</t>
    </r>
  </si>
  <si>
    <t>2/5</t>
  </si>
  <si>
    <r>
      <t>2</t>
    </r>
    <r>
      <rPr>
        <b/>
        <sz val="12"/>
        <color rgb="FFFF0000"/>
        <rFont val="Arial"/>
        <family val="2"/>
      </rPr>
      <t>5</t>
    </r>
    <r>
      <rPr>
        <sz val="12"/>
        <rFont val="Arial"/>
        <family val="2"/>
      </rPr>
      <t>1.00</t>
    </r>
  </si>
  <si>
    <r>
      <t>168</t>
    </r>
    <r>
      <rPr>
        <b/>
        <sz val="12"/>
        <color rgb="FFFF0000"/>
        <rFont val="Arial"/>
        <family val="2"/>
      </rPr>
      <t>_-</t>
    </r>
    <r>
      <rPr>
        <sz val="12"/>
        <color theme="1"/>
        <rFont val="Arial"/>
        <family val="2"/>
      </rPr>
      <t>1</t>
    </r>
  </si>
  <si>
    <r>
      <t>63</t>
    </r>
    <r>
      <rPr>
        <b/>
        <sz val="12"/>
        <color rgb="FFFF0000"/>
        <rFont val="Arial"/>
        <family val="2"/>
      </rPr>
      <t>5</t>
    </r>
    <r>
      <rPr>
        <sz val="12"/>
        <color theme="1"/>
        <rFont val="Arial"/>
        <family val="2"/>
      </rPr>
      <t>4</t>
    </r>
    <r>
      <rPr>
        <b/>
        <sz val="12"/>
        <color rgb="FFFF0000"/>
        <rFont val="Arial"/>
        <family val="2"/>
      </rPr>
      <t>_</t>
    </r>
    <r>
      <rPr>
        <sz val="12"/>
        <color theme="1"/>
        <rFont val="Arial"/>
        <family val="2"/>
      </rPr>
      <t>8</t>
    </r>
  </si>
  <si>
    <t>3/6</t>
  </si>
  <si>
    <r>
      <t>37</t>
    </r>
    <r>
      <rPr>
        <b/>
        <sz val="12"/>
        <color rgb="FFFF0000"/>
        <rFont val="Arial"/>
        <family val="2"/>
      </rPr>
      <t>_</t>
    </r>
    <r>
      <rPr>
        <sz val="12"/>
        <color theme="1"/>
        <rFont val="Arial"/>
        <family val="2"/>
      </rPr>
      <t>90</t>
    </r>
  </si>
  <si>
    <r>
      <t>74</t>
    </r>
    <r>
      <rPr>
        <b/>
        <sz val="12"/>
        <color rgb="FFFF0000"/>
        <rFont val="Arial"/>
        <family val="2"/>
      </rPr>
      <t>_</t>
    </r>
    <r>
      <rPr>
        <sz val="12"/>
        <color theme="1"/>
        <rFont val="Arial"/>
        <family val="2"/>
      </rPr>
      <t>48</t>
    </r>
  </si>
  <si>
    <r>
      <t>108</t>
    </r>
    <r>
      <rPr>
        <b/>
        <sz val="12"/>
        <color rgb="FFFF0000"/>
        <rFont val="Arial"/>
        <family val="2"/>
      </rPr>
      <t>_</t>
    </r>
    <r>
      <rPr>
        <sz val="12"/>
        <color theme="1"/>
        <rFont val="Arial"/>
        <family val="2"/>
      </rPr>
      <t>00</t>
    </r>
  </si>
  <si>
    <r>
      <t>54</t>
    </r>
    <r>
      <rPr>
        <b/>
        <sz val="12"/>
        <color rgb="FFFF0000"/>
        <rFont val="Arial"/>
        <family val="2"/>
      </rPr>
      <t>_</t>
    </r>
    <r>
      <rPr>
        <sz val="12"/>
        <color theme="1"/>
        <rFont val="Arial"/>
        <family val="2"/>
      </rPr>
      <t>01</t>
    </r>
  </si>
  <si>
    <r>
      <t>4981</t>
    </r>
    <r>
      <rPr>
        <b/>
        <sz val="12"/>
        <color rgb="FFFF0000"/>
        <rFont val="Arial"/>
        <family val="2"/>
      </rPr>
      <t>_</t>
    </r>
    <r>
      <rPr>
        <sz val="12"/>
        <color theme="1"/>
        <rFont val="Arial"/>
        <family val="2"/>
      </rPr>
      <t>3</t>
    </r>
  </si>
  <si>
    <r>
      <t>60</t>
    </r>
    <r>
      <rPr>
        <b/>
        <sz val="12"/>
        <color rgb="FFFF0000"/>
        <rFont val="Arial"/>
        <family val="2"/>
      </rPr>
      <t>_</t>
    </r>
    <r>
      <rPr>
        <sz val="12"/>
        <color theme="1"/>
        <rFont val="Arial"/>
        <family val="2"/>
      </rPr>
      <t>00</t>
    </r>
  </si>
  <si>
    <r>
      <t>203</t>
    </r>
    <r>
      <rPr>
        <b/>
        <sz val="12"/>
        <color rgb="FFFF0000"/>
        <rFont val="Arial"/>
        <family val="2"/>
      </rPr>
      <t>_</t>
    </r>
    <r>
      <rPr>
        <sz val="12"/>
        <color theme="1"/>
        <rFont val="Arial"/>
        <family val="2"/>
      </rPr>
      <t>0</t>
    </r>
  </si>
  <si>
    <r>
      <t>2</t>
    </r>
    <r>
      <rPr>
        <b/>
        <sz val="12"/>
        <color rgb="FFFF0000"/>
        <rFont val="Arial"/>
        <family val="2"/>
      </rPr>
      <t>.</t>
    </r>
    <r>
      <rPr>
        <sz val="12"/>
        <color theme="1"/>
        <rFont val="Arial"/>
        <family val="2"/>
      </rPr>
      <t>1</t>
    </r>
    <r>
      <rPr>
        <b/>
        <sz val="12"/>
        <color rgb="FFFF0000"/>
        <rFont val="Arial"/>
        <family val="2"/>
      </rPr>
      <t>_--</t>
    </r>
  </si>
  <si>
    <r>
      <t>3</t>
    </r>
    <r>
      <rPr>
        <b/>
        <sz val="12"/>
        <color rgb="FFFF0000"/>
        <rFont val="Arial"/>
        <family val="2"/>
      </rPr>
      <t>.</t>
    </r>
    <r>
      <rPr>
        <sz val="12"/>
        <color theme="1"/>
        <rFont val="Arial"/>
        <family val="2"/>
      </rPr>
      <t>2</t>
    </r>
    <r>
      <rPr>
        <b/>
        <sz val="12"/>
        <color rgb="FFFF0000"/>
        <rFont val="Arial"/>
        <family val="2"/>
      </rPr>
      <t>_--</t>
    </r>
  </si>
  <si>
    <r>
      <t>6</t>
    </r>
    <r>
      <rPr>
        <b/>
        <sz val="12"/>
        <color rgb="FFFF0000"/>
        <rFont val="Arial"/>
        <family val="2"/>
      </rPr>
      <t>.</t>
    </r>
    <r>
      <rPr>
        <sz val="12"/>
        <color theme="1"/>
        <rFont val="Arial"/>
        <family val="2"/>
      </rPr>
      <t>8</t>
    </r>
    <r>
      <rPr>
        <b/>
        <sz val="12"/>
        <color rgb="FFFF0000"/>
        <rFont val="Arial"/>
        <family val="2"/>
      </rPr>
      <t>_--</t>
    </r>
  </si>
  <si>
    <t xml:space="preserve">PRECISIÓN  YOLOv8 BÁSICO </t>
  </si>
  <si>
    <t>PRECISIÓN  YOLOv8 OPTIMIZADO</t>
  </si>
  <si>
    <r>
      <t>6324</t>
    </r>
    <r>
      <rPr>
        <b/>
        <sz val="12"/>
        <color rgb="FFFF0000"/>
        <rFont val="Arial"/>
        <family val="2"/>
      </rPr>
      <t>_</t>
    </r>
    <r>
      <rPr>
        <sz val="12"/>
        <color theme="1"/>
        <rFont val="Arial"/>
        <family val="2"/>
      </rPr>
      <t>8</t>
    </r>
  </si>
  <si>
    <r>
      <t>64</t>
    </r>
    <r>
      <rPr>
        <b/>
        <sz val="12"/>
        <color rgb="FFFF0000"/>
        <rFont val="Arial"/>
        <family val="2"/>
      </rPr>
      <t>_</t>
    </r>
    <r>
      <rPr>
        <sz val="12"/>
        <color theme="1"/>
        <rFont val="Arial"/>
        <family val="2"/>
      </rPr>
      <t>00</t>
    </r>
  </si>
  <si>
    <r>
      <t>54</t>
    </r>
    <r>
      <rPr>
        <b/>
        <sz val="12"/>
        <color rgb="FFFF0000"/>
        <rFont val="Arial"/>
        <family val="2"/>
      </rPr>
      <t>_</t>
    </r>
    <r>
      <rPr>
        <sz val="12"/>
        <color theme="1"/>
        <rFont val="Arial"/>
        <family val="2"/>
      </rPr>
      <t>0</t>
    </r>
    <r>
      <rPr>
        <b/>
        <sz val="12"/>
        <color rgb="FFFF0000"/>
        <rFont val="Arial"/>
        <family val="2"/>
      </rPr>
      <t>-</t>
    </r>
  </si>
  <si>
    <r>
      <t>498</t>
    </r>
    <r>
      <rPr>
        <b/>
        <sz val="12"/>
        <color rgb="FFFF0000"/>
        <rFont val="Arial"/>
        <family val="2"/>
      </rPr>
      <t>-_</t>
    </r>
    <r>
      <rPr>
        <sz val="12"/>
        <color theme="1"/>
        <rFont val="Arial"/>
        <family val="2"/>
      </rPr>
      <t>3</t>
    </r>
  </si>
  <si>
    <r>
      <t>23</t>
    </r>
    <r>
      <rPr>
        <b/>
        <sz val="12"/>
        <color rgb="FFFF0000"/>
        <rFont val="Arial"/>
        <family val="2"/>
      </rPr>
      <t>_</t>
    </r>
    <r>
      <rPr>
        <sz val="12"/>
        <color theme="1"/>
        <rFont val="Arial"/>
        <family val="2"/>
      </rPr>
      <t>01</t>
    </r>
  </si>
  <si>
    <r>
      <t>178</t>
    </r>
    <r>
      <rPr>
        <b/>
        <sz val="12"/>
        <color rgb="FFFF0000"/>
        <rFont val="Arial"/>
        <family val="2"/>
      </rPr>
      <t>_</t>
    </r>
    <r>
      <rPr>
        <sz val="12"/>
        <color theme="1"/>
        <rFont val="Arial"/>
        <family val="2"/>
      </rPr>
      <t>60</t>
    </r>
  </si>
  <si>
    <r>
      <t>2</t>
    </r>
    <r>
      <rPr>
        <sz val="12"/>
        <rFont val="Arial"/>
        <family val="2"/>
      </rPr>
      <t>1.00</t>
    </r>
  </si>
  <si>
    <r>
      <t>168</t>
    </r>
    <r>
      <rPr>
        <b/>
        <sz val="12"/>
        <color rgb="FFFF0000"/>
        <rFont val="Arial"/>
        <family val="2"/>
      </rPr>
      <t>_</t>
    </r>
    <r>
      <rPr>
        <sz val="12"/>
        <rFont val="Arial"/>
        <family val="2"/>
      </rPr>
      <t>6</t>
    </r>
    <r>
      <rPr>
        <sz val="12"/>
        <color theme="1"/>
        <rFont val="Arial"/>
        <family val="2"/>
      </rPr>
      <t>1</t>
    </r>
  </si>
  <si>
    <t>PRECISIÓN  YOLOv8 AVANZADO</t>
  </si>
  <si>
    <r>
      <t>5</t>
    </r>
    <r>
      <rPr>
        <b/>
        <sz val="12"/>
        <color rgb="FFFF0000"/>
        <rFont val="Arial"/>
        <family val="2"/>
      </rPr>
      <t>2</t>
    </r>
    <r>
      <rPr>
        <sz val="12"/>
        <color theme="1"/>
        <rFont val="Arial"/>
        <family val="2"/>
      </rPr>
      <t>121.3</t>
    </r>
  </si>
  <si>
    <r>
      <t>2</t>
    </r>
    <r>
      <rPr>
        <sz val="12"/>
        <rFont val="Arial"/>
        <family val="2"/>
      </rPr>
      <t>1</t>
    </r>
    <r>
      <rPr>
        <b/>
        <sz val="12"/>
        <color rgb="FFFF0000"/>
        <rFont val="Arial"/>
        <family val="2"/>
      </rPr>
      <t>_</t>
    </r>
    <r>
      <rPr>
        <sz val="12"/>
        <rFont val="Arial"/>
        <family val="2"/>
      </rPr>
      <t>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</si>
</sst>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49" fontId="3" fillId="5" borderId="1" xfId="0" applyNumberFormat="1" applyFont="1" applyFill="1" applyBorder="1" applyAlignment="1">
      <alignment horizontal="center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49" fontId="3" fillId="7" borderId="1" xfId="0" applyNumberFormat="1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49" fontId="0" fillId="0" borderId="0" xfId="0" applyNumberFormat="1"/>
    <xf numFmtId="0" fontId="0" fillId="2" borderId="6" xfId="0" applyFill="1" applyBorder="1" applyAlignment="1">
      <alignment horizontal="center"/>
    </xf>
    <xf numFmtId="0" fontId="0" fillId="2" borderId="6" xfId="0" applyNumberFormat="1" applyFill="1" applyBorder="1" applyAlignment="1">
      <alignment horizontal="center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4" fillId="6" borderId="3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5" borderId="10" xfId="0" applyNumberFormat="1" applyFont="1" applyFill="1" applyBorder="1" applyAlignment="1">
      <alignment horizontal="center" vertical="center" wrapText="1"/>
    </xf>
    <xf numFmtId="49" fontId="3" fillId="5" borderId="11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49" fontId="3" fillId="6" borderId="11" xfId="0" applyNumberFormat="1" applyFont="1" applyFill="1" applyBorder="1" applyAlignment="1">
      <alignment horizontal="center" vertical="center" wrapText="1"/>
    </xf>
    <xf numFmtId="49" fontId="3" fillId="7" borderId="10" xfId="0" applyNumberFormat="1" applyFont="1" applyFill="1" applyBorder="1" applyAlignment="1">
      <alignment horizontal="center" vertical="center" wrapText="1"/>
    </xf>
    <xf numFmtId="49" fontId="3" fillId="7" borderId="11" xfId="0" applyNumberFormat="1" applyFont="1" applyFill="1" applyBorder="1" applyAlignment="1">
      <alignment horizontal="center" vertical="center" wrapText="1"/>
    </xf>
    <xf numFmtId="49" fontId="3" fillId="5" borderId="12" xfId="0" applyNumberFormat="1" applyFont="1" applyFill="1" applyBorder="1" applyAlignment="1">
      <alignment horizontal="center" vertical="center" wrapText="1"/>
    </xf>
    <xf numFmtId="49" fontId="3" fillId="5" borderId="13" xfId="0" applyNumberFormat="1" applyFont="1" applyFill="1" applyBorder="1" applyAlignment="1">
      <alignment horizontal="center" vertical="center" wrapText="1"/>
    </xf>
    <xf numFmtId="49" fontId="3" fillId="5" borderId="14" xfId="0" applyNumberFormat="1" applyFont="1" applyFill="1" applyBorder="1" applyAlignment="1">
      <alignment horizontal="center" vertical="center" wrapText="1"/>
    </xf>
    <xf numFmtId="0" fontId="0" fillId="6" borderId="0" xfId="0" applyFill="1"/>
    <xf numFmtId="49" fontId="0" fillId="6" borderId="0" xfId="0" applyNumberFormat="1" applyFill="1" applyAlignment="1">
      <alignment horizontal="center"/>
    </xf>
    <xf numFmtId="0" fontId="0" fillId="6" borderId="0" xfId="0" applyFill="1" applyBorder="1" applyAlignment="1">
      <alignment horizontal="center"/>
    </xf>
    <xf numFmtId="49" fontId="0" fillId="6" borderId="0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0B2D5-D478-4033-A8D0-39BE42DA85EB}">
  <sheetPr codeName="Hoja1"/>
  <dimension ref="B1:H169"/>
  <sheetViews>
    <sheetView showGridLines="0" tabSelected="1" topLeftCell="A89" zoomScale="55" zoomScaleNormal="55" workbookViewId="0">
      <selection activeCell="I7" sqref="I7"/>
    </sheetView>
  </sheetViews>
  <sheetFormatPr baseColWidth="10" defaultRowHeight="14.4" x14ac:dyDescent="0.3"/>
  <cols>
    <col min="2" max="2" width="13.77734375" customWidth="1"/>
    <col min="3" max="3" width="13.33203125" customWidth="1"/>
    <col min="4" max="4" width="25.6640625" customWidth="1"/>
    <col min="5" max="8" width="25.44140625" customWidth="1"/>
    <col min="9" max="9" width="20.5546875" customWidth="1"/>
    <col min="10" max="15" width="20.77734375" customWidth="1"/>
  </cols>
  <sheetData>
    <row r="1" spans="2:8" ht="19.95" customHeight="1" thickBot="1" x14ac:dyDescent="0.35">
      <c r="C1" t="s">
        <v>0</v>
      </c>
    </row>
    <row r="2" spans="2:8" ht="30" customHeight="1" thickTop="1" thickBot="1" x14ac:dyDescent="0.35">
      <c r="B2" s="30"/>
      <c r="C2" s="28"/>
      <c r="D2" s="9" t="s">
        <v>9</v>
      </c>
      <c r="E2" s="10"/>
      <c r="F2" s="10"/>
      <c r="G2" s="10"/>
      <c r="H2" s="11"/>
    </row>
    <row r="3" spans="2:8" ht="27" customHeight="1" thickTop="1" thickBot="1" x14ac:dyDescent="0.35">
      <c r="B3" s="31"/>
      <c r="C3" s="29"/>
      <c r="D3" s="7" t="s">
        <v>17</v>
      </c>
      <c r="E3" s="7" t="s">
        <v>18</v>
      </c>
      <c r="F3" s="7" t="s">
        <v>12</v>
      </c>
      <c r="G3" s="8" t="s">
        <v>13</v>
      </c>
      <c r="H3" s="8" t="s">
        <v>14</v>
      </c>
    </row>
    <row r="4" spans="2:8" ht="19.95" customHeight="1" thickTop="1" thickBot="1" x14ac:dyDescent="0.35">
      <c r="B4" s="31"/>
      <c r="C4" s="29"/>
      <c r="D4" s="15" t="s">
        <v>10</v>
      </c>
      <c r="E4" s="16" t="s">
        <v>10</v>
      </c>
      <c r="F4" s="17" t="s">
        <v>11</v>
      </c>
      <c r="G4" s="16" t="s">
        <v>11</v>
      </c>
      <c r="H4" s="18" t="s">
        <v>19</v>
      </c>
    </row>
    <row r="5" spans="2:8" ht="19.95" customHeight="1" thickBot="1" x14ac:dyDescent="0.35">
      <c r="B5" s="31"/>
      <c r="C5" s="29"/>
      <c r="D5" s="19" t="s">
        <v>3</v>
      </c>
      <c r="E5" s="3" t="s">
        <v>3</v>
      </c>
      <c r="F5" s="3" t="s">
        <v>11</v>
      </c>
      <c r="G5" s="3" t="s">
        <v>11</v>
      </c>
      <c r="H5" s="20" t="s">
        <v>20</v>
      </c>
    </row>
    <row r="6" spans="2:8" ht="19.95" customHeight="1" thickBot="1" x14ac:dyDescent="0.35">
      <c r="B6" s="31"/>
      <c r="C6" s="29"/>
      <c r="D6" s="21" t="s">
        <v>15</v>
      </c>
      <c r="E6" s="5" t="s">
        <v>67</v>
      </c>
      <c r="F6" s="5" t="s">
        <v>16</v>
      </c>
      <c r="G6" s="5" t="s">
        <v>16</v>
      </c>
      <c r="H6" s="22" t="s">
        <v>21</v>
      </c>
    </row>
    <row r="7" spans="2:8" ht="19.95" customHeight="1" thickBot="1" x14ac:dyDescent="0.35">
      <c r="B7" s="31"/>
      <c r="C7" s="29"/>
      <c r="D7" s="23" t="s">
        <v>4</v>
      </c>
      <c r="E7" s="6" t="s">
        <v>4</v>
      </c>
      <c r="F7" s="6" t="s">
        <v>11</v>
      </c>
      <c r="G7" s="6" t="s">
        <v>11</v>
      </c>
      <c r="H7" s="24" t="s">
        <v>19</v>
      </c>
    </row>
    <row r="8" spans="2:8" ht="19.95" customHeight="1" thickBot="1" x14ac:dyDescent="0.35">
      <c r="B8" s="31"/>
      <c r="C8" s="29"/>
      <c r="D8" s="21" t="s">
        <v>22</v>
      </c>
      <c r="E8" s="5" t="s">
        <v>22</v>
      </c>
      <c r="F8" s="5" t="s">
        <v>11</v>
      </c>
      <c r="G8" s="5" t="s">
        <v>11</v>
      </c>
      <c r="H8" s="22" t="s">
        <v>19</v>
      </c>
    </row>
    <row r="9" spans="2:8" ht="19.95" customHeight="1" thickBot="1" x14ac:dyDescent="0.35">
      <c r="B9" s="31"/>
      <c r="C9" s="29"/>
      <c r="D9" s="19" t="s">
        <v>23</v>
      </c>
      <c r="E9" s="3" t="s">
        <v>23</v>
      </c>
      <c r="F9" s="3" t="s">
        <v>11</v>
      </c>
      <c r="G9" s="3" t="s">
        <v>11</v>
      </c>
      <c r="H9" s="20" t="s">
        <v>19</v>
      </c>
    </row>
    <row r="10" spans="2:8" ht="19.95" customHeight="1" thickBot="1" x14ac:dyDescent="0.35">
      <c r="B10" s="31"/>
      <c r="C10" s="29"/>
      <c r="D10" s="21" t="s">
        <v>24</v>
      </c>
      <c r="E10" s="5" t="s">
        <v>41</v>
      </c>
      <c r="F10" s="5" t="s">
        <v>16</v>
      </c>
      <c r="G10" s="5" t="s">
        <v>11</v>
      </c>
      <c r="H10" s="22" t="s">
        <v>25</v>
      </c>
    </row>
    <row r="11" spans="2:8" ht="19.95" customHeight="1" thickBot="1" x14ac:dyDescent="0.35">
      <c r="B11" s="31"/>
      <c r="C11" s="29"/>
      <c r="D11" s="19" t="s">
        <v>26</v>
      </c>
      <c r="E11" s="3" t="s">
        <v>42</v>
      </c>
      <c r="F11" s="3" t="s">
        <v>16</v>
      </c>
      <c r="G11" s="3" t="s">
        <v>16</v>
      </c>
      <c r="H11" s="20" t="s">
        <v>27</v>
      </c>
    </row>
    <row r="12" spans="2:8" ht="19.95" customHeight="1" thickBot="1" x14ac:dyDescent="0.35">
      <c r="B12" s="31"/>
      <c r="C12" s="29"/>
      <c r="D12" s="21" t="s">
        <v>28</v>
      </c>
      <c r="E12" s="5" t="s">
        <v>43</v>
      </c>
      <c r="F12" s="5" t="s">
        <v>16</v>
      </c>
      <c r="G12" s="5" t="s">
        <v>16</v>
      </c>
      <c r="H12" s="22" t="s">
        <v>25</v>
      </c>
    </row>
    <row r="13" spans="2:8" ht="19.95" customHeight="1" thickBot="1" x14ac:dyDescent="0.35">
      <c r="B13" s="31"/>
      <c r="C13" s="29"/>
      <c r="D13" s="19" t="s">
        <v>30</v>
      </c>
      <c r="E13" s="3" t="s">
        <v>48</v>
      </c>
      <c r="F13" s="3" t="s">
        <v>16</v>
      </c>
      <c r="G13" s="3" t="s">
        <v>11</v>
      </c>
      <c r="H13" s="20" t="s">
        <v>25</v>
      </c>
    </row>
    <row r="14" spans="2:8" ht="19.95" customHeight="1" thickBot="1" x14ac:dyDescent="0.35">
      <c r="B14" s="31"/>
      <c r="C14" s="29"/>
      <c r="D14" s="21" t="s">
        <v>31</v>
      </c>
      <c r="E14" s="5" t="s">
        <v>42</v>
      </c>
      <c r="F14" s="5" t="s">
        <v>16</v>
      </c>
      <c r="G14" s="5" t="s">
        <v>16</v>
      </c>
      <c r="H14" s="22" t="s">
        <v>27</v>
      </c>
    </row>
    <row r="15" spans="2:8" ht="19.95" customHeight="1" thickBot="1" x14ac:dyDescent="0.35">
      <c r="B15" s="31"/>
      <c r="C15" s="29"/>
      <c r="D15" s="19" t="s">
        <v>32</v>
      </c>
      <c r="E15" s="3" t="s">
        <v>44</v>
      </c>
      <c r="F15" s="3" t="s">
        <v>16</v>
      </c>
      <c r="G15" s="3" t="s">
        <v>16</v>
      </c>
      <c r="H15" s="20" t="s">
        <v>27</v>
      </c>
    </row>
    <row r="16" spans="2:8" ht="19.95" customHeight="1" thickBot="1" x14ac:dyDescent="0.35">
      <c r="B16" s="31"/>
      <c r="C16" s="29"/>
      <c r="D16" s="21" t="s">
        <v>2</v>
      </c>
      <c r="E16" s="5" t="s">
        <v>45</v>
      </c>
      <c r="F16" s="5" t="s">
        <v>16</v>
      </c>
      <c r="G16" s="5" t="s">
        <v>16</v>
      </c>
      <c r="H16" s="22" t="s">
        <v>33</v>
      </c>
    </row>
    <row r="17" spans="2:8" ht="19.95" customHeight="1" thickBot="1" x14ac:dyDescent="0.35">
      <c r="B17" s="31"/>
      <c r="C17" s="29"/>
      <c r="D17" s="19" t="s">
        <v>34</v>
      </c>
      <c r="E17" s="3" t="s">
        <v>46</v>
      </c>
      <c r="F17" s="3" t="s">
        <v>16</v>
      </c>
      <c r="G17" s="3" t="s">
        <v>16</v>
      </c>
      <c r="H17" s="20" t="s">
        <v>25</v>
      </c>
    </row>
    <row r="18" spans="2:8" ht="19.95" customHeight="1" thickBot="1" x14ac:dyDescent="0.35">
      <c r="B18" s="31"/>
      <c r="C18" s="29"/>
      <c r="D18" s="21" t="s">
        <v>35</v>
      </c>
      <c r="E18" s="5" t="s">
        <v>35</v>
      </c>
      <c r="F18" s="5" t="s">
        <v>11</v>
      </c>
      <c r="G18" s="5" t="s">
        <v>11</v>
      </c>
      <c r="H18" s="22" t="s">
        <v>19</v>
      </c>
    </row>
    <row r="19" spans="2:8" ht="19.95" customHeight="1" thickBot="1" x14ac:dyDescent="0.35">
      <c r="B19" s="31"/>
      <c r="C19" s="29"/>
      <c r="D19" s="19" t="s">
        <v>1</v>
      </c>
      <c r="E19" s="3" t="s">
        <v>65</v>
      </c>
      <c r="F19" s="3" t="s">
        <v>16</v>
      </c>
      <c r="G19" s="3" t="s">
        <v>16</v>
      </c>
      <c r="H19" s="20" t="s">
        <v>21</v>
      </c>
    </row>
    <row r="20" spans="2:8" ht="19.95" customHeight="1" thickBot="1" x14ac:dyDescent="0.35">
      <c r="B20" s="31"/>
      <c r="C20" s="29"/>
      <c r="D20" s="21" t="s">
        <v>36</v>
      </c>
      <c r="E20" s="5" t="s">
        <v>66</v>
      </c>
      <c r="F20" s="5" t="s">
        <v>16</v>
      </c>
      <c r="G20" s="5" t="s">
        <v>37</v>
      </c>
      <c r="H20" s="22" t="s">
        <v>21</v>
      </c>
    </row>
    <row r="21" spans="2:8" ht="19.95" customHeight="1" thickBot="1" x14ac:dyDescent="0.35">
      <c r="B21" s="31"/>
      <c r="C21" s="29"/>
      <c r="D21" s="19" t="s">
        <v>38</v>
      </c>
      <c r="E21" s="3" t="s">
        <v>38</v>
      </c>
      <c r="F21" s="3" t="s">
        <v>11</v>
      </c>
      <c r="G21" s="3" t="s">
        <v>11</v>
      </c>
      <c r="H21" s="20" t="s">
        <v>19</v>
      </c>
    </row>
    <row r="22" spans="2:8" ht="19.95" customHeight="1" thickBot="1" x14ac:dyDescent="0.35">
      <c r="B22" s="31"/>
      <c r="C22" s="29"/>
      <c r="D22" s="21" t="s">
        <v>39</v>
      </c>
      <c r="E22" s="5" t="s">
        <v>49</v>
      </c>
      <c r="F22" s="5" t="s">
        <v>16</v>
      </c>
      <c r="G22" s="5" t="s">
        <v>11</v>
      </c>
      <c r="H22" s="22" t="s">
        <v>25</v>
      </c>
    </row>
    <row r="23" spans="2:8" ht="19.95" customHeight="1" thickBot="1" x14ac:dyDescent="0.35">
      <c r="B23" s="28"/>
      <c r="C23" s="28"/>
      <c r="D23" s="25" t="s">
        <v>40</v>
      </c>
      <c r="E23" s="26" t="s">
        <v>47</v>
      </c>
      <c r="F23" s="26" t="s">
        <v>16</v>
      </c>
      <c r="G23" s="26" t="s">
        <v>16</v>
      </c>
      <c r="H23" s="27" t="s">
        <v>27</v>
      </c>
    </row>
    <row r="24" spans="2:8" ht="19.95" customHeight="1" thickTop="1" x14ac:dyDescent="0.3"/>
    <row r="25" spans="2:8" ht="19.95" customHeight="1" thickBot="1" x14ac:dyDescent="0.35">
      <c r="H25" s="12" cm="1">
        <f t="array" ref="H25">SUMPRODUCT(IFERROR(LEFT(H4:H23,FIND("/",H4:H23)-1)*1,0))</f>
        <v>83</v>
      </c>
    </row>
    <row r="26" spans="2:8" ht="19.95" customHeight="1" thickTop="1" thickBot="1" x14ac:dyDescent="0.35">
      <c r="D26" s="12" cm="1">
        <f t="array" ref="D26">SUMPRODUCT(LEN(D4:D23))</f>
        <v>106</v>
      </c>
      <c r="F26" s="13">
        <f>COUNTIF(F4:F23, "Sí")</f>
        <v>7</v>
      </c>
      <c r="G26" s="13">
        <f>COUNTIF(G4:G23, "Sí")</f>
        <v>10</v>
      </c>
      <c r="H26" s="14" t="str">
        <f>H25 &amp; "/" &amp; D26</f>
        <v>83/106</v>
      </c>
    </row>
    <row r="27" spans="2:8" ht="19.95" customHeight="1" thickTop="1" x14ac:dyDescent="0.3"/>
    <row r="28" spans="2:8" ht="19.95" customHeight="1" x14ac:dyDescent="0.3"/>
    <row r="29" spans="2:8" ht="19.95" customHeight="1" x14ac:dyDescent="0.3"/>
    <row r="30" spans="2:8" ht="19.95" customHeight="1" thickBot="1" x14ac:dyDescent="0.35"/>
    <row r="31" spans="2:8" ht="30" customHeight="1" thickTop="1" thickBot="1" x14ac:dyDescent="0.35">
      <c r="D31" s="9" t="s">
        <v>68</v>
      </c>
      <c r="E31" s="10"/>
      <c r="F31" s="10"/>
      <c r="G31" s="10"/>
      <c r="H31" s="11"/>
    </row>
    <row r="32" spans="2:8" ht="27" customHeight="1" thickTop="1" thickBot="1" x14ac:dyDescent="0.35">
      <c r="C32" s="1"/>
      <c r="D32" s="7" t="s">
        <v>17</v>
      </c>
      <c r="E32" s="7" t="s">
        <v>18</v>
      </c>
      <c r="F32" s="7" t="s">
        <v>12</v>
      </c>
      <c r="G32" s="8" t="s">
        <v>13</v>
      </c>
      <c r="H32" s="8" t="s">
        <v>14</v>
      </c>
    </row>
    <row r="33" spans="3:8" ht="19.95" customHeight="1" thickTop="1" thickBot="1" x14ac:dyDescent="0.35">
      <c r="C33" s="32"/>
      <c r="D33" s="15" t="s">
        <v>10</v>
      </c>
      <c r="E33" s="16" t="s">
        <v>10</v>
      </c>
      <c r="F33" s="17" t="s">
        <v>11</v>
      </c>
      <c r="G33" s="16" t="s">
        <v>11</v>
      </c>
      <c r="H33" s="18" t="s">
        <v>19</v>
      </c>
    </row>
    <row r="34" spans="3:8" ht="19.95" customHeight="1" thickBot="1" x14ac:dyDescent="0.35">
      <c r="C34" s="33"/>
      <c r="D34" s="3" t="s">
        <v>3</v>
      </c>
      <c r="E34" s="3" t="s">
        <v>56</v>
      </c>
      <c r="F34" s="3" t="s">
        <v>16</v>
      </c>
      <c r="G34" s="3" t="s">
        <v>16</v>
      </c>
      <c r="H34" s="20" t="s">
        <v>57</v>
      </c>
    </row>
    <row r="35" spans="3:8" ht="19.95" customHeight="1" thickBot="1" x14ac:dyDescent="0.35">
      <c r="C35" s="33"/>
      <c r="D35" s="5" t="s">
        <v>15</v>
      </c>
      <c r="E35" s="4" t="s">
        <v>15</v>
      </c>
      <c r="F35" s="5" t="s">
        <v>11</v>
      </c>
      <c r="G35" s="5" t="s">
        <v>11</v>
      </c>
      <c r="H35" s="22" t="s">
        <v>19</v>
      </c>
    </row>
    <row r="36" spans="3:8" ht="19.95" customHeight="1" thickBot="1" x14ac:dyDescent="0.35">
      <c r="C36" s="34"/>
      <c r="D36" s="6" t="s">
        <v>4</v>
      </c>
      <c r="E36" s="6" t="s">
        <v>4</v>
      </c>
      <c r="F36" s="6" t="s">
        <v>11</v>
      </c>
      <c r="G36" s="6" t="s">
        <v>11</v>
      </c>
      <c r="H36" s="24" t="s">
        <v>19</v>
      </c>
    </row>
    <row r="37" spans="3:8" ht="19.95" customHeight="1" thickBot="1" x14ac:dyDescent="0.35">
      <c r="D37" s="21" t="s">
        <v>22</v>
      </c>
      <c r="E37" s="5" t="s">
        <v>58</v>
      </c>
      <c r="F37" s="5" t="s">
        <v>16</v>
      </c>
      <c r="G37" s="5" t="s">
        <v>11</v>
      </c>
      <c r="H37" s="22" t="s">
        <v>27</v>
      </c>
    </row>
    <row r="38" spans="3:8" ht="19.95" customHeight="1" thickBot="1" x14ac:dyDescent="0.35">
      <c r="C38" s="2" t="s">
        <v>7</v>
      </c>
      <c r="D38" s="19" t="s">
        <v>23</v>
      </c>
      <c r="E38" s="3" t="s">
        <v>59</v>
      </c>
      <c r="F38" s="3" t="s">
        <v>16</v>
      </c>
      <c r="G38" s="3" t="s">
        <v>11</v>
      </c>
      <c r="H38" s="20" t="s">
        <v>27</v>
      </c>
    </row>
    <row r="39" spans="3:8" ht="19.95" customHeight="1" thickBot="1" x14ac:dyDescent="0.35">
      <c r="C39" s="2" t="s">
        <v>5</v>
      </c>
      <c r="D39" s="21" t="s">
        <v>24</v>
      </c>
      <c r="E39" s="5" t="s">
        <v>60</v>
      </c>
      <c r="F39" s="5" t="s">
        <v>16</v>
      </c>
      <c r="G39" s="5" t="s">
        <v>11</v>
      </c>
      <c r="H39" s="22" t="s">
        <v>25</v>
      </c>
    </row>
    <row r="40" spans="3:8" ht="19.95" customHeight="1" thickBot="1" x14ac:dyDescent="0.35">
      <c r="C40" s="2" t="s">
        <v>6</v>
      </c>
      <c r="D40" s="19" t="s">
        <v>26</v>
      </c>
      <c r="E40" s="3" t="s">
        <v>61</v>
      </c>
      <c r="F40" s="3" t="s">
        <v>16</v>
      </c>
      <c r="G40" s="3" t="s">
        <v>11</v>
      </c>
      <c r="H40" s="20" t="s">
        <v>27</v>
      </c>
    </row>
    <row r="41" spans="3:8" ht="19.95" customHeight="1" thickBot="1" x14ac:dyDescent="0.35">
      <c r="C41" s="2"/>
      <c r="D41" s="21" t="s">
        <v>28</v>
      </c>
      <c r="E41" s="5" t="s">
        <v>62</v>
      </c>
      <c r="F41" s="5" t="s">
        <v>16</v>
      </c>
      <c r="G41" s="5" t="s">
        <v>11</v>
      </c>
      <c r="H41" s="22" t="s">
        <v>25</v>
      </c>
    </row>
    <row r="42" spans="3:8" ht="19.95" customHeight="1" thickBot="1" x14ac:dyDescent="0.35">
      <c r="C42" s="2" t="s">
        <v>8</v>
      </c>
      <c r="D42" s="19" t="s">
        <v>30</v>
      </c>
      <c r="E42" s="3" t="s">
        <v>50</v>
      </c>
      <c r="F42" s="3" t="s">
        <v>16</v>
      </c>
      <c r="G42" s="3" t="s">
        <v>16</v>
      </c>
      <c r="H42" s="20" t="s">
        <v>51</v>
      </c>
    </row>
    <row r="43" spans="3:8" ht="19.95" customHeight="1" thickBot="1" x14ac:dyDescent="0.35">
      <c r="C43" s="2" t="s">
        <v>6</v>
      </c>
      <c r="D43" s="21" t="s">
        <v>31</v>
      </c>
      <c r="E43" s="5" t="s">
        <v>31</v>
      </c>
      <c r="F43" s="5" t="s">
        <v>11</v>
      </c>
      <c r="G43" s="5" t="s">
        <v>11</v>
      </c>
      <c r="H43" s="22" t="s">
        <v>19</v>
      </c>
    </row>
    <row r="44" spans="3:8" ht="19.95" customHeight="1" thickBot="1" x14ac:dyDescent="0.35">
      <c r="D44" s="19" t="s">
        <v>32</v>
      </c>
      <c r="E44" s="3" t="s">
        <v>52</v>
      </c>
      <c r="F44" s="3" t="s">
        <v>16</v>
      </c>
      <c r="G44" s="3" t="s">
        <v>16</v>
      </c>
      <c r="H44" s="20" t="s">
        <v>53</v>
      </c>
    </row>
    <row r="45" spans="3:8" ht="19.95" customHeight="1" thickBot="1" x14ac:dyDescent="0.35">
      <c r="D45" s="21" t="s">
        <v>2</v>
      </c>
      <c r="E45" s="5" t="s">
        <v>63</v>
      </c>
      <c r="F45" s="5" t="s">
        <v>16</v>
      </c>
      <c r="G45" s="5" t="s">
        <v>11</v>
      </c>
      <c r="H45" s="22" t="s">
        <v>27</v>
      </c>
    </row>
    <row r="46" spans="3:8" ht="19.95" customHeight="1" thickBot="1" x14ac:dyDescent="0.35">
      <c r="D46" s="19" t="s">
        <v>34</v>
      </c>
      <c r="E46" s="3" t="s">
        <v>34</v>
      </c>
      <c r="F46" s="3" t="s">
        <v>11</v>
      </c>
      <c r="G46" s="3" t="s">
        <v>11</v>
      </c>
      <c r="H46" s="20" t="s">
        <v>20</v>
      </c>
    </row>
    <row r="47" spans="3:8" ht="19.95" customHeight="1" thickBot="1" x14ac:dyDescent="0.35">
      <c r="D47" s="21" t="s">
        <v>35</v>
      </c>
      <c r="E47" s="5" t="s">
        <v>35</v>
      </c>
      <c r="F47" s="5" t="s">
        <v>11</v>
      </c>
      <c r="G47" s="5" t="s">
        <v>11</v>
      </c>
      <c r="H47" s="22" t="s">
        <v>19</v>
      </c>
    </row>
    <row r="48" spans="3:8" ht="19.95" customHeight="1" thickBot="1" x14ac:dyDescent="0.35">
      <c r="D48" s="19" t="s">
        <v>1</v>
      </c>
      <c r="E48" s="3" t="s">
        <v>54</v>
      </c>
      <c r="F48" s="3" t="s">
        <v>16</v>
      </c>
      <c r="G48" s="3" t="s">
        <v>16</v>
      </c>
      <c r="H48" s="20" t="s">
        <v>27</v>
      </c>
    </row>
    <row r="49" spans="4:8" ht="19.95" customHeight="1" thickBot="1" x14ac:dyDescent="0.35">
      <c r="D49" s="21" t="s">
        <v>36</v>
      </c>
      <c r="E49" s="5" t="s">
        <v>36</v>
      </c>
      <c r="F49" s="5" t="s">
        <v>11</v>
      </c>
      <c r="G49" s="5" t="s">
        <v>11</v>
      </c>
      <c r="H49" s="22" t="s">
        <v>19</v>
      </c>
    </row>
    <row r="50" spans="4:8" ht="19.95" customHeight="1" thickBot="1" x14ac:dyDescent="0.35">
      <c r="D50" s="19" t="s">
        <v>38</v>
      </c>
      <c r="E50" s="3" t="s">
        <v>64</v>
      </c>
      <c r="F50" s="3" t="s">
        <v>16</v>
      </c>
      <c r="G50" s="3" t="s">
        <v>11</v>
      </c>
      <c r="H50" s="20" t="s">
        <v>27</v>
      </c>
    </row>
    <row r="51" spans="4:8" ht="19.95" customHeight="1" thickBot="1" x14ac:dyDescent="0.35">
      <c r="D51" s="21" t="s">
        <v>39</v>
      </c>
      <c r="E51" s="5" t="s">
        <v>55</v>
      </c>
      <c r="F51" s="5" t="s">
        <v>16</v>
      </c>
      <c r="G51" s="5" t="s">
        <v>16</v>
      </c>
      <c r="H51" s="22" t="s">
        <v>29</v>
      </c>
    </row>
    <row r="52" spans="4:8" ht="19.95" customHeight="1" thickBot="1" x14ac:dyDescent="0.35">
      <c r="D52" s="25" t="s">
        <v>40</v>
      </c>
      <c r="E52" s="26" t="s">
        <v>40</v>
      </c>
      <c r="F52" s="26" t="s">
        <v>11</v>
      </c>
      <c r="G52" s="26" t="s">
        <v>11</v>
      </c>
      <c r="H52" s="27" t="s">
        <v>19</v>
      </c>
    </row>
    <row r="53" spans="4:8" ht="19.95" customHeight="1" thickTop="1" x14ac:dyDescent="0.3"/>
    <row r="54" spans="4:8" ht="19.95" customHeight="1" thickBot="1" x14ac:dyDescent="0.35">
      <c r="H54" s="12" cm="1">
        <f t="array" ref="H54">SUMPRODUCT(IFERROR(LEFT(H33:H52,FIND("/",H33:H52)-1)*1,0))</f>
        <v>86</v>
      </c>
    </row>
    <row r="55" spans="4:8" ht="19.95" customHeight="1" thickTop="1" thickBot="1" x14ac:dyDescent="0.35">
      <c r="D55" s="12" cm="1">
        <f t="array" ref="D55">SUMPRODUCT(LEN(D33:D52))</f>
        <v>106</v>
      </c>
      <c r="F55" s="13">
        <f>COUNTIF(F33:F52, "Sí")</f>
        <v>8</v>
      </c>
      <c r="G55" s="13">
        <f>COUNTIF(G33:G52, "Sí")</f>
        <v>15</v>
      </c>
      <c r="H55" s="14" t="str">
        <f>H54 &amp; "/" &amp; D55</f>
        <v>86/106</v>
      </c>
    </row>
    <row r="56" spans="4:8" ht="19.95" customHeight="1" thickTop="1" x14ac:dyDescent="0.3"/>
    <row r="57" spans="4:8" ht="19.95" customHeight="1" x14ac:dyDescent="0.3"/>
    <row r="58" spans="4:8" ht="19.95" customHeight="1" x14ac:dyDescent="0.3"/>
    <row r="59" spans="4:8" ht="19.95" customHeight="1" thickBot="1" x14ac:dyDescent="0.35"/>
    <row r="60" spans="4:8" ht="30" customHeight="1" thickTop="1" thickBot="1" x14ac:dyDescent="0.35">
      <c r="D60" s="9" t="s">
        <v>69</v>
      </c>
      <c r="E60" s="10"/>
      <c r="F60" s="10"/>
      <c r="G60" s="10"/>
      <c r="H60" s="11"/>
    </row>
    <row r="61" spans="4:8" ht="27" customHeight="1" thickTop="1" thickBot="1" x14ac:dyDescent="0.35">
      <c r="D61" s="7" t="s">
        <v>17</v>
      </c>
      <c r="E61" s="7" t="s">
        <v>18</v>
      </c>
      <c r="F61" s="7" t="s">
        <v>12</v>
      </c>
      <c r="G61" s="8" t="s">
        <v>13</v>
      </c>
      <c r="H61" s="8" t="s">
        <v>14</v>
      </c>
    </row>
    <row r="62" spans="4:8" ht="19.95" customHeight="1" thickTop="1" thickBot="1" x14ac:dyDescent="0.35">
      <c r="D62" s="15" t="s">
        <v>10</v>
      </c>
      <c r="E62" s="16" t="s">
        <v>10</v>
      </c>
      <c r="F62" s="17" t="s">
        <v>11</v>
      </c>
      <c r="G62" s="16" t="s">
        <v>11</v>
      </c>
      <c r="H62" s="18" t="s">
        <v>19</v>
      </c>
    </row>
    <row r="63" spans="4:8" ht="19.95" customHeight="1" thickBot="1" x14ac:dyDescent="0.35">
      <c r="D63" s="19" t="s">
        <v>3</v>
      </c>
      <c r="E63" s="3" t="s">
        <v>70</v>
      </c>
      <c r="F63" s="3" t="s">
        <v>16</v>
      </c>
      <c r="G63" s="3" t="s">
        <v>11</v>
      </c>
      <c r="H63" s="20" t="s">
        <v>25</v>
      </c>
    </row>
    <row r="64" spans="4:8" ht="19.95" customHeight="1" thickBot="1" x14ac:dyDescent="0.35">
      <c r="D64" s="21" t="s">
        <v>15</v>
      </c>
      <c r="E64" s="4" t="s">
        <v>15</v>
      </c>
      <c r="F64" s="5" t="s">
        <v>11</v>
      </c>
      <c r="G64" s="5" t="s">
        <v>11</v>
      </c>
      <c r="H64" s="22" t="s">
        <v>19</v>
      </c>
    </row>
    <row r="65" spans="4:8" ht="19.95" customHeight="1" thickBot="1" x14ac:dyDescent="0.35">
      <c r="D65" s="23" t="s">
        <v>4</v>
      </c>
      <c r="E65" s="6" t="s">
        <v>71</v>
      </c>
      <c r="F65" s="6" t="s">
        <v>16</v>
      </c>
      <c r="G65" s="6" t="s">
        <v>11</v>
      </c>
      <c r="H65" s="24" t="s">
        <v>27</v>
      </c>
    </row>
    <row r="66" spans="4:8" ht="19.95" customHeight="1" thickBot="1" x14ac:dyDescent="0.35">
      <c r="D66" s="21" t="s">
        <v>22</v>
      </c>
      <c r="E66" s="5" t="s">
        <v>58</v>
      </c>
      <c r="F66" s="5" t="s">
        <v>16</v>
      </c>
      <c r="G66" s="5" t="s">
        <v>11</v>
      </c>
      <c r="H66" s="22" t="s">
        <v>27</v>
      </c>
    </row>
    <row r="67" spans="4:8" ht="19.95" customHeight="1" thickBot="1" x14ac:dyDescent="0.35">
      <c r="D67" s="19" t="s">
        <v>23</v>
      </c>
      <c r="E67" s="3" t="s">
        <v>23</v>
      </c>
      <c r="F67" s="3" t="s">
        <v>11</v>
      </c>
      <c r="G67" s="3" t="s">
        <v>11</v>
      </c>
      <c r="H67" s="20" t="s">
        <v>19</v>
      </c>
    </row>
    <row r="68" spans="4:8" ht="19.95" customHeight="1" thickBot="1" x14ac:dyDescent="0.35">
      <c r="D68" s="21" t="s">
        <v>24</v>
      </c>
      <c r="E68" s="5" t="s">
        <v>60</v>
      </c>
      <c r="F68" s="5" t="s">
        <v>16</v>
      </c>
      <c r="G68" s="5" t="s">
        <v>11</v>
      </c>
      <c r="H68" s="22" t="s">
        <v>25</v>
      </c>
    </row>
    <row r="69" spans="4:8" ht="19.95" customHeight="1" thickBot="1" x14ac:dyDescent="0.35">
      <c r="D69" s="19" t="s">
        <v>26</v>
      </c>
      <c r="E69" s="3" t="s">
        <v>72</v>
      </c>
      <c r="F69" s="3" t="s">
        <v>16</v>
      </c>
      <c r="G69" s="3" t="s">
        <v>16</v>
      </c>
      <c r="H69" s="20" t="s">
        <v>33</v>
      </c>
    </row>
    <row r="70" spans="4:8" ht="19.95" customHeight="1" thickBot="1" x14ac:dyDescent="0.35">
      <c r="D70" s="21" t="s">
        <v>28</v>
      </c>
      <c r="E70" s="5" t="s">
        <v>73</v>
      </c>
      <c r="F70" s="5" t="s">
        <v>16</v>
      </c>
      <c r="G70" s="5" t="s">
        <v>16</v>
      </c>
      <c r="H70" s="22" t="s">
        <v>29</v>
      </c>
    </row>
    <row r="71" spans="4:8" ht="19.95" customHeight="1" thickBot="1" x14ac:dyDescent="0.35">
      <c r="D71" s="19" t="s">
        <v>30</v>
      </c>
      <c r="E71" s="3" t="s">
        <v>48</v>
      </c>
      <c r="F71" s="3" t="s">
        <v>16</v>
      </c>
      <c r="G71" s="3" t="s">
        <v>11</v>
      </c>
      <c r="H71" s="20" t="s">
        <v>25</v>
      </c>
    </row>
    <row r="72" spans="4:8" ht="19.95" customHeight="1" thickBot="1" x14ac:dyDescent="0.35">
      <c r="D72" s="21" t="s">
        <v>31</v>
      </c>
      <c r="E72" s="5" t="s">
        <v>31</v>
      </c>
      <c r="F72" s="5" t="s">
        <v>11</v>
      </c>
      <c r="G72" s="5" t="s">
        <v>11</v>
      </c>
      <c r="H72" s="22" t="s">
        <v>19</v>
      </c>
    </row>
    <row r="73" spans="4:8" ht="19.95" customHeight="1" thickBot="1" x14ac:dyDescent="0.35">
      <c r="D73" s="19" t="s">
        <v>32</v>
      </c>
      <c r="E73" s="3" t="s">
        <v>74</v>
      </c>
      <c r="F73" s="3" t="s">
        <v>16</v>
      </c>
      <c r="G73" s="3" t="s">
        <v>11</v>
      </c>
      <c r="H73" s="20" t="s">
        <v>27</v>
      </c>
    </row>
    <row r="74" spans="4:8" ht="19.95" customHeight="1" thickBot="1" x14ac:dyDescent="0.35">
      <c r="D74" s="21" t="s">
        <v>2</v>
      </c>
      <c r="E74" s="5" t="s">
        <v>2</v>
      </c>
      <c r="F74" s="5" t="s">
        <v>11</v>
      </c>
      <c r="G74" s="5" t="s">
        <v>11</v>
      </c>
      <c r="H74" s="22" t="s">
        <v>19</v>
      </c>
    </row>
    <row r="75" spans="4:8" ht="19.95" customHeight="1" thickBot="1" x14ac:dyDescent="0.35">
      <c r="D75" s="19" t="s">
        <v>34</v>
      </c>
      <c r="E75" s="3" t="s">
        <v>75</v>
      </c>
      <c r="F75" s="3" t="s">
        <v>16</v>
      </c>
      <c r="G75" s="3" t="s">
        <v>11</v>
      </c>
      <c r="H75" s="20" t="s">
        <v>25</v>
      </c>
    </row>
    <row r="76" spans="4:8" ht="19.95" customHeight="1" thickBot="1" x14ac:dyDescent="0.35">
      <c r="D76" s="21" t="s">
        <v>35</v>
      </c>
      <c r="E76" s="5" t="s">
        <v>35</v>
      </c>
      <c r="F76" s="5" t="s">
        <v>11</v>
      </c>
      <c r="G76" s="5" t="s">
        <v>11</v>
      </c>
      <c r="H76" s="22" t="s">
        <v>19</v>
      </c>
    </row>
    <row r="77" spans="4:8" ht="19.95" customHeight="1" thickBot="1" x14ac:dyDescent="0.35">
      <c r="D77" s="19" t="s">
        <v>1</v>
      </c>
      <c r="E77" s="3" t="s">
        <v>76</v>
      </c>
      <c r="F77" s="3" t="s">
        <v>11</v>
      </c>
      <c r="G77" s="3" t="s">
        <v>11</v>
      </c>
      <c r="H77" s="20" t="s">
        <v>19</v>
      </c>
    </row>
    <row r="78" spans="4:8" ht="19.95" customHeight="1" thickBot="1" x14ac:dyDescent="0.35">
      <c r="D78" s="21" t="s">
        <v>36</v>
      </c>
      <c r="E78" s="5" t="s">
        <v>36</v>
      </c>
      <c r="F78" s="5" t="s">
        <v>11</v>
      </c>
      <c r="G78" s="5" t="s">
        <v>11</v>
      </c>
      <c r="H78" s="22" t="s">
        <v>19</v>
      </c>
    </row>
    <row r="79" spans="4:8" ht="19.95" customHeight="1" thickBot="1" x14ac:dyDescent="0.35">
      <c r="D79" s="19" t="s">
        <v>38</v>
      </c>
      <c r="E79" s="3" t="s">
        <v>38</v>
      </c>
      <c r="F79" s="3" t="s">
        <v>11</v>
      </c>
      <c r="G79" s="3" t="s">
        <v>11</v>
      </c>
      <c r="H79" s="20" t="s">
        <v>19</v>
      </c>
    </row>
    <row r="80" spans="4:8" ht="19.95" customHeight="1" thickBot="1" x14ac:dyDescent="0.35">
      <c r="D80" s="21" t="s">
        <v>39</v>
      </c>
      <c r="E80" s="5" t="s">
        <v>77</v>
      </c>
      <c r="F80" s="5" t="s">
        <v>16</v>
      </c>
      <c r="G80" s="5" t="s">
        <v>11</v>
      </c>
      <c r="H80" s="22" t="s">
        <v>25</v>
      </c>
    </row>
    <row r="81" spans="4:8" ht="19.95" customHeight="1" thickBot="1" x14ac:dyDescent="0.35">
      <c r="D81" s="25" t="s">
        <v>40</v>
      </c>
      <c r="E81" s="26" t="s">
        <v>40</v>
      </c>
      <c r="F81" s="26" t="s">
        <v>11</v>
      </c>
      <c r="G81" s="26" t="s">
        <v>11</v>
      </c>
      <c r="H81" s="27" t="s">
        <v>19</v>
      </c>
    </row>
    <row r="82" spans="4:8" ht="19.95" customHeight="1" thickTop="1" x14ac:dyDescent="0.3"/>
    <row r="83" spans="4:8" ht="19.95" customHeight="1" thickBot="1" x14ac:dyDescent="0.35">
      <c r="H83" s="12" cm="1">
        <f t="array" ref="H83">SUMPRODUCT(IFERROR(LEFT(H62:H81,FIND("/",H62:H81)-1)*1,0))</f>
        <v>94</v>
      </c>
    </row>
    <row r="84" spans="4:8" ht="19.95" customHeight="1" thickTop="1" thickBot="1" x14ac:dyDescent="0.35">
      <c r="D84" s="12" cm="1">
        <f t="array" ref="D84">SUMPRODUCT(LEN(D62:D81))</f>
        <v>106</v>
      </c>
      <c r="F84" s="13">
        <f>COUNTIF(F62:F81, "Sí")</f>
        <v>10</v>
      </c>
      <c r="G84" s="13">
        <f>COUNTIF(G62:G81, "Sí")</f>
        <v>18</v>
      </c>
      <c r="H84" s="14" t="str">
        <f>H83 &amp; "/" &amp; D84</f>
        <v>94/106</v>
      </c>
    </row>
    <row r="85" spans="4:8" ht="19.95" customHeight="1" thickTop="1" x14ac:dyDescent="0.3"/>
    <row r="86" spans="4:8" ht="19.95" customHeight="1" x14ac:dyDescent="0.3"/>
    <row r="87" spans="4:8" ht="19.95" customHeight="1" x14ac:dyDescent="0.3"/>
    <row r="88" spans="4:8" ht="19.95" customHeight="1" x14ac:dyDescent="0.3"/>
    <row r="89" spans="4:8" ht="19.95" customHeight="1" thickBot="1" x14ac:dyDescent="0.35"/>
    <row r="90" spans="4:8" ht="30" customHeight="1" thickTop="1" thickBot="1" x14ac:dyDescent="0.35">
      <c r="D90" s="9" t="s">
        <v>78</v>
      </c>
      <c r="E90" s="10"/>
      <c r="F90" s="10"/>
      <c r="G90" s="10"/>
      <c r="H90" s="11"/>
    </row>
    <row r="91" spans="4:8" ht="27" customHeight="1" thickTop="1" thickBot="1" x14ac:dyDescent="0.35">
      <c r="D91" s="7" t="s">
        <v>17</v>
      </c>
      <c r="E91" s="7" t="s">
        <v>18</v>
      </c>
      <c r="F91" s="7" t="s">
        <v>12</v>
      </c>
      <c r="G91" s="8" t="s">
        <v>13</v>
      </c>
      <c r="H91" s="8" t="s">
        <v>14</v>
      </c>
    </row>
    <row r="92" spans="4:8" ht="19.95" customHeight="1" thickTop="1" thickBot="1" x14ac:dyDescent="0.35">
      <c r="D92" s="15" t="s">
        <v>10</v>
      </c>
      <c r="E92" s="16" t="s">
        <v>10</v>
      </c>
      <c r="F92" s="17" t="s">
        <v>11</v>
      </c>
      <c r="G92" s="16" t="s">
        <v>11</v>
      </c>
      <c r="H92" s="18" t="s">
        <v>19</v>
      </c>
    </row>
    <row r="93" spans="4:8" ht="19.95" customHeight="1" thickBot="1" x14ac:dyDescent="0.35">
      <c r="D93" s="19" t="s">
        <v>3</v>
      </c>
      <c r="E93" s="3" t="s">
        <v>70</v>
      </c>
      <c r="F93" s="3" t="s">
        <v>16</v>
      </c>
      <c r="G93" s="3" t="s">
        <v>11</v>
      </c>
      <c r="H93" s="20" t="s">
        <v>25</v>
      </c>
    </row>
    <row r="94" spans="4:8" ht="19.95" customHeight="1" thickBot="1" x14ac:dyDescent="0.35">
      <c r="D94" s="21" t="s">
        <v>15</v>
      </c>
      <c r="E94" s="4" t="s">
        <v>15</v>
      </c>
      <c r="F94" s="5" t="s">
        <v>11</v>
      </c>
      <c r="G94" s="5" t="s">
        <v>11</v>
      </c>
      <c r="H94" s="22" t="s">
        <v>19</v>
      </c>
    </row>
    <row r="95" spans="4:8" ht="19.95" customHeight="1" thickBot="1" x14ac:dyDescent="0.35">
      <c r="D95" s="23" t="s">
        <v>4</v>
      </c>
      <c r="E95" s="6" t="s">
        <v>4</v>
      </c>
      <c r="F95" s="6" t="s">
        <v>11</v>
      </c>
      <c r="G95" s="6" t="s">
        <v>11</v>
      </c>
      <c r="H95" s="24" t="s">
        <v>19</v>
      </c>
    </row>
    <row r="96" spans="4:8" ht="19.95" customHeight="1" thickBot="1" x14ac:dyDescent="0.35">
      <c r="D96" s="21" t="s">
        <v>22</v>
      </c>
      <c r="E96" s="5" t="s">
        <v>22</v>
      </c>
      <c r="F96" s="5" t="s">
        <v>11</v>
      </c>
      <c r="G96" s="5" t="s">
        <v>11</v>
      </c>
      <c r="H96" s="22" t="s">
        <v>19</v>
      </c>
    </row>
    <row r="97" spans="4:8" ht="19.95" customHeight="1" thickBot="1" x14ac:dyDescent="0.35">
      <c r="D97" s="19" t="s">
        <v>23</v>
      </c>
      <c r="E97" s="3" t="s">
        <v>23</v>
      </c>
      <c r="F97" s="3" t="s">
        <v>11</v>
      </c>
      <c r="G97" s="3" t="s">
        <v>11</v>
      </c>
      <c r="H97" s="20" t="s">
        <v>19</v>
      </c>
    </row>
    <row r="98" spans="4:8" ht="19.95" customHeight="1" thickBot="1" x14ac:dyDescent="0.35">
      <c r="D98" s="21" t="s">
        <v>24</v>
      </c>
      <c r="E98" s="5" t="s">
        <v>60</v>
      </c>
      <c r="F98" s="5" t="s">
        <v>16</v>
      </c>
      <c r="G98" s="5" t="s">
        <v>11</v>
      </c>
      <c r="H98" s="22" t="s">
        <v>25</v>
      </c>
    </row>
    <row r="99" spans="4:8" ht="19.95" customHeight="1" thickBot="1" x14ac:dyDescent="0.35">
      <c r="D99" s="19" t="s">
        <v>26</v>
      </c>
      <c r="E99" s="3" t="s">
        <v>42</v>
      </c>
      <c r="F99" s="3" t="s">
        <v>16</v>
      </c>
      <c r="G99" s="3" t="s">
        <v>16</v>
      </c>
      <c r="H99" s="20" t="s">
        <v>27</v>
      </c>
    </row>
    <row r="100" spans="4:8" ht="19.95" customHeight="1" thickBot="1" x14ac:dyDescent="0.35">
      <c r="D100" s="21" t="s">
        <v>28</v>
      </c>
      <c r="E100" s="5" t="s">
        <v>62</v>
      </c>
      <c r="F100" s="5" t="s">
        <v>16</v>
      </c>
      <c r="G100" s="5" t="s">
        <v>11</v>
      </c>
      <c r="H100" s="22" t="s">
        <v>25</v>
      </c>
    </row>
    <row r="101" spans="4:8" ht="19.95" customHeight="1" thickBot="1" x14ac:dyDescent="0.35">
      <c r="D101" s="19" t="s">
        <v>30</v>
      </c>
      <c r="E101" s="3" t="s">
        <v>79</v>
      </c>
      <c r="F101" s="3" t="s">
        <v>16</v>
      </c>
      <c r="G101" s="3" t="s">
        <v>16</v>
      </c>
      <c r="H101" s="20" t="s">
        <v>25</v>
      </c>
    </row>
    <row r="102" spans="4:8" ht="19.95" customHeight="1" thickBot="1" x14ac:dyDescent="0.35">
      <c r="D102" s="21" t="s">
        <v>31</v>
      </c>
      <c r="E102" s="5" t="s">
        <v>31</v>
      </c>
      <c r="F102" s="5" t="s">
        <v>11</v>
      </c>
      <c r="G102" s="5" t="s">
        <v>11</v>
      </c>
      <c r="H102" s="22" t="s">
        <v>19</v>
      </c>
    </row>
    <row r="103" spans="4:8" ht="19.95" customHeight="1" thickBot="1" x14ac:dyDescent="0.35">
      <c r="D103" s="19" t="s">
        <v>32</v>
      </c>
      <c r="E103" s="3" t="s">
        <v>32</v>
      </c>
      <c r="F103" s="3" t="s">
        <v>11</v>
      </c>
      <c r="G103" s="3" t="s">
        <v>11</v>
      </c>
      <c r="H103" s="20" t="s">
        <v>19</v>
      </c>
    </row>
    <row r="104" spans="4:8" ht="19.95" customHeight="1" thickBot="1" x14ac:dyDescent="0.35">
      <c r="D104" s="21" t="s">
        <v>2</v>
      </c>
      <c r="E104" s="5" t="s">
        <v>2</v>
      </c>
      <c r="F104" s="5" t="s">
        <v>11</v>
      </c>
      <c r="G104" s="5" t="s">
        <v>11</v>
      </c>
      <c r="H104" s="22" t="s">
        <v>19</v>
      </c>
    </row>
    <row r="105" spans="4:8" ht="19.95" customHeight="1" thickBot="1" x14ac:dyDescent="0.35">
      <c r="D105" s="19" t="s">
        <v>34</v>
      </c>
      <c r="E105" s="3" t="s">
        <v>34</v>
      </c>
      <c r="F105" s="3" t="s">
        <v>11</v>
      </c>
      <c r="G105" s="3" t="s">
        <v>11</v>
      </c>
      <c r="H105" s="20" t="s">
        <v>25</v>
      </c>
    </row>
    <row r="106" spans="4:8" ht="19.95" customHeight="1" thickBot="1" x14ac:dyDescent="0.35">
      <c r="D106" s="21" t="s">
        <v>35</v>
      </c>
      <c r="E106" s="5" t="s">
        <v>35</v>
      </c>
      <c r="F106" s="5" t="s">
        <v>11</v>
      </c>
      <c r="G106" s="5" t="s">
        <v>11</v>
      </c>
      <c r="H106" s="22" t="s">
        <v>19</v>
      </c>
    </row>
    <row r="107" spans="4:8" ht="19.95" customHeight="1" thickBot="1" x14ac:dyDescent="0.35">
      <c r="D107" s="19" t="s">
        <v>1</v>
      </c>
      <c r="E107" s="3" t="s">
        <v>80</v>
      </c>
      <c r="F107" s="3" t="s">
        <v>16</v>
      </c>
      <c r="G107" s="3" t="s">
        <v>11</v>
      </c>
      <c r="H107" s="20" t="s">
        <v>27</v>
      </c>
    </row>
    <row r="108" spans="4:8" ht="19.95" customHeight="1" thickBot="1" x14ac:dyDescent="0.35">
      <c r="D108" s="21" t="s">
        <v>36</v>
      </c>
      <c r="E108" s="5" t="s">
        <v>36</v>
      </c>
      <c r="F108" s="5" t="s">
        <v>11</v>
      </c>
      <c r="G108" s="5" t="s">
        <v>11</v>
      </c>
      <c r="H108" s="22" t="s">
        <v>19</v>
      </c>
    </row>
    <row r="109" spans="4:8" ht="19.95" customHeight="1" thickBot="1" x14ac:dyDescent="0.35">
      <c r="D109" s="19" t="s">
        <v>38</v>
      </c>
      <c r="E109" s="3" t="s">
        <v>38</v>
      </c>
      <c r="F109" s="3" t="s">
        <v>11</v>
      </c>
      <c r="G109" s="3" t="s">
        <v>11</v>
      </c>
      <c r="H109" s="20" t="s">
        <v>19</v>
      </c>
    </row>
    <row r="110" spans="4:8" ht="19.95" customHeight="1" thickBot="1" x14ac:dyDescent="0.35">
      <c r="D110" s="21" t="s">
        <v>39</v>
      </c>
      <c r="E110" s="5" t="s">
        <v>77</v>
      </c>
      <c r="F110" s="5" t="s">
        <v>16</v>
      </c>
      <c r="G110" s="5" t="s">
        <v>11</v>
      </c>
      <c r="H110" s="22" t="s">
        <v>25</v>
      </c>
    </row>
    <row r="111" spans="4:8" ht="19.95" customHeight="1" thickBot="1" x14ac:dyDescent="0.35">
      <c r="D111" s="25" t="s">
        <v>40</v>
      </c>
      <c r="E111" s="26" t="s">
        <v>40</v>
      </c>
      <c r="F111" s="26" t="s">
        <v>11</v>
      </c>
      <c r="G111" s="26" t="s">
        <v>11</v>
      </c>
      <c r="H111" s="27" t="s">
        <v>19</v>
      </c>
    </row>
    <row r="112" spans="4:8" ht="19.95" customHeight="1" thickTop="1" x14ac:dyDescent="0.3"/>
    <row r="113" spans="4:8" ht="19.95" customHeight="1" thickBot="1" x14ac:dyDescent="0.35">
      <c r="H113" s="12" cm="1">
        <f t="array" ref="H113">SUMPRODUCT(IFERROR(LEFT(H92:H111,FIND("/",H92:H111)-1)*1,0))</f>
        <v>98</v>
      </c>
    </row>
    <row r="114" spans="4:8" ht="19.95" customHeight="1" thickTop="1" thickBot="1" x14ac:dyDescent="0.35">
      <c r="D114" s="12" cm="1">
        <f t="array" ref="D114">SUMPRODUCT(LEN(D92:D111))</f>
        <v>106</v>
      </c>
      <c r="F114" s="13">
        <f>COUNTIF(F92:F111, "Sí")</f>
        <v>13</v>
      </c>
      <c r="G114" s="13">
        <f>COUNTIF(G92:G111, "Sí")</f>
        <v>18</v>
      </c>
      <c r="H114" s="14" t="str">
        <f>H113 &amp; "/" &amp; D114</f>
        <v>98/106</v>
      </c>
    </row>
    <row r="115" spans="4:8" ht="19.95" customHeight="1" thickTop="1" x14ac:dyDescent="0.3"/>
    <row r="116" spans="4:8" ht="19.95" customHeight="1" x14ac:dyDescent="0.3"/>
    <row r="117" spans="4:8" ht="19.95" customHeight="1" x14ac:dyDescent="0.3"/>
    <row r="118" spans="4:8" ht="19.95" customHeight="1" x14ac:dyDescent="0.3"/>
    <row r="119" spans="4:8" ht="19.95" customHeight="1" x14ac:dyDescent="0.3"/>
    <row r="120" spans="4:8" ht="19.95" customHeight="1" x14ac:dyDescent="0.3"/>
    <row r="121" spans="4:8" ht="19.95" customHeight="1" x14ac:dyDescent="0.3"/>
    <row r="122" spans="4:8" ht="19.95" customHeight="1" x14ac:dyDescent="0.3"/>
    <row r="123" spans="4:8" ht="19.95" customHeight="1" x14ac:dyDescent="0.3"/>
    <row r="124" spans="4:8" ht="19.95" customHeight="1" x14ac:dyDescent="0.3"/>
    <row r="125" spans="4:8" ht="19.95" customHeight="1" x14ac:dyDescent="0.3"/>
    <row r="126" spans="4:8" ht="19.95" customHeight="1" x14ac:dyDescent="0.3"/>
    <row r="127" spans="4:8" ht="19.95" customHeight="1" x14ac:dyDescent="0.3"/>
    <row r="128" spans="4:8" ht="19.95" customHeight="1" x14ac:dyDescent="0.3"/>
    <row r="129" ht="19.95" customHeight="1" x14ac:dyDescent="0.3"/>
    <row r="130" ht="19.95" customHeight="1" x14ac:dyDescent="0.3"/>
    <row r="131" ht="19.95" customHeight="1" x14ac:dyDescent="0.3"/>
    <row r="140" ht="30" customHeight="1" x14ac:dyDescent="0.3"/>
    <row r="141" ht="27" customHeight="1" x14ac:dyDescent="0.3"/>
    <row r="142" ht="19.95" customHeight="1" x14ac:dyDescent="0.3"/>
    <row r="143" ht="19.95" customHeight="1" x14ac:dyDescent="0.3"/>
    <row r="144" ht="19.95" customHeight="1" x14ac:dyDescent="0.3"/>
    <row r="145" ht="19.95" customHeight="1" x14ac:dyDescent="0.3"/>
    <row r="146" ht="19.95" customHeight="1" x14ac:dyDescent="0.3"/>
    <row r="147" ht="19.95" customHeight="1" x14ac:dyDescent="0.3"/>
    <row r="148" ht="19.95" customHeight="1" x14ac:dyDescent="0.3"/>
    <row r="149" ht="19.95" customHeight="1" x14ac:dyDescent="0.3"/>
    <row r="150" ht="19.95" customHeight="1" x14ac:dyDescent="0.3"/>
    <row r="151" ht="19.95" customHeight="1" x14ac:dyDescent="0.3"/>
    <row r="152" ht="19.95" customHeight="1" x14ac:dyDescent="0.3"/>
    <row r="153" ht="19.95" customHeight="1" x14ac:dyDescent="0.3"/>
    <row r="154" ht="19.95" customHeight="1" x14ac:dyDescent="0.3"/>
    <row r="155" ht="19.95" customHeight="1" x14ac:dyDescent="0.3"/>
    <row r="156" ht="19.95" customHeight="1" x14ac:dyDescent="0.3"/>
    <row r="157" ht="19.95" customHeight="1" x14ac:dyDescent="0.3"/>
    <row r="158" ht="19.95" customHeight="1" x14ac:dyDescent="0.3"/>
    <row r="159" ht="19.95" customHeight="1" x14ac:dyDescent="0.3"/>
    <row r="160" ht="19.95" customHeight="1" x14ac:dyDescent="0.3"/>
    <row r="161" ht="19.95" customHeight="1" x14ac:dyDescent="0.3"/>
    <row r="169" ht="24" customHeight="1" x14ac:dyDescent="0.3"/>
  </sheetData>
  <mergeCells count="4">
    <mergeCell ref="D60:H60"/>
    <mergeCell ref="D90:H90"/>
    <mergeCell ref="D2:H2"/>
    <mergeCell ref="D31:H31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DIAZ MOLINA</dc:creator>
  <cp:lastModifiedBy>RUBEN DIAZ MOLINA</cp:lastModifiedBy>
  <cp:lastPrinted>2025-05-26T23:43:56Z</cp:lastPrinted>
  <dcterms:created xsi:type="dcterms:W3CDTF">2025-05-26T19:16:15Z</dcterms:created>
  <dcterms:modified xsi:type="dcterms:W3CDTF">2025-10-17T18:21:21Z</dcterms:modified>
</cp:coreProperties>
</file>